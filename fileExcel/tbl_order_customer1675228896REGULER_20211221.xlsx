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yos\formatexcel\"/>
    </mc:Choice>
  </mc:AlternateContent>
  <xr:revisionPtr revIDLastSave="0" documentId="13_ncr:1_{1AC0B5F2-EE21-4C06-BBB8-2AE851139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" sheetId="1" r:id="rId1"/>
    <sheet name="Sheet1" sheetId="2" r:id="rId2"/>
  </sheets>
  <definedNames>
    <definedName name="_xlnm._FilterDatabase" localSheetId="0" hidden="1">order!$B$2:$B$5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<sst xmlns="http://schemas.openxmlformats.org/spreadsheetml/2006/main" count="304" uniqueCount="153">
  <si>
    <t>id</t>
  </si>
  <si>
    <t>delv_date</t>
  </si>
  <si>
    <t>customer_code</t>
  </si>
  <si>
    <t>order no</t>
  </si>
  <si>
    <t>job no</t>
  </si>
  <si>
    <t>part no</t>
  </si>
  <si>
    <t>part name</t>
  </si>
  <si>
    <t>order pcs</t>
  </si>
  <si>
    <t>order_kbn</t>
  </si>
  <si>
    <t>delv_cycle</t>
  </si>
  <si>
    <t>delv_time</t>
  </si>
  <si>
    <t>ADM</t>
  </si>
  <si>
    <t>D40D</t>
  </si>
  <si>
    <t>82715-BZ540</t>
  </si>
  <si>
    <t>BRACKET WIRING HARNESS CLAMP</t>
  </si>
  <si>
    <t>D94B</t>
  </si>
  <si>
    <t>82715-BZ110</t>
  </si>
  <si>
    <t>D81D</t>
  </si>
  <si>
    <t>89439-BZ150</t>
  </si>
  <si>
    <t>BRACKET, SENSOR</t>
  </si>
  <si>
    <t>82715-BZ530</t>
  </si>
  <si>
    <t>82715-BZ060</t>
  </si>
  <si>
    <t>D80N</t>
  </si>
  <si>
    <t>23295-BZ010</t>
  </si>
  <si>
    <t>HOLDER, INJECTOR</t>
  </si>
  <si>
    <t>82715-BZ550</t>
  </si>
  <si>
    <t>51096-BZ010</t>
  </si>
  <si>
    <t>HOOK, SUB-ASSY TRANSPORT RR LH</t>
  </si>
  <si>
    <t>D17D</t>
  </si>
  <si>
    <t>53751-BZ140</t>
  </si>
  <si>
    <t>61848-BZ020</t>
  </si>
  <si>
    <t>RETAINER , QUARTER PANEL , LH</t>
  </si>
  <si>
    <t>53751-BZ150</t>
  </si>
  <si>
    <t>61715-BZ031</t>
  </si>
  <si>
    <t>EXTENSION, ROOF SIDE, INNER UPR RH</t>
  </si>
  <si>
    <t>57688-BZ010</t>
  </si>
  <si>
    <t>REINFORCEMENT, RR FLOOR CROSS MEMBER</t>
  </si>
  <si>
    <t>61716-BZ031</t>
  </si>
  <si>
    <t>EXTENSION, ROOF SIDE, INNER UPR LH</t>
  </si>
  <si>
    <t>58351-BZ010</t>
  </si>
  <si>
    <t>REINFORCEMENT, RR FLOOR PANEL RH</t>
  </si>
  <si>
    <t>61786-BZ070</t>
  </si>
  <si>
    <t>BRACKET, RR BUMPER SIDE, RH</t>
  </si>
  <si>
    <t>61748-BZ040</t>
  </si>
  <si>
    <t>REINFORCEMENT, ROOF SIDE, INNER RR LH</t>
  </si>
  <si>
    <t>61735-BZ080</t>
  </si>
  <si>
    <t>PANEL, ROOF SIDE, INNER RR RH</t>
  </si>
  <si>
    <t>61413-BZ010</t>
  </si>
  <si>
    <t>REINFORCEMENT,ROCKER PANEL,NO.2 RH</t>
  </si>
  <si>
    <t>61786-BZ050</t>
  </si>
  <si>
    <t>61768-BZ060</t>
  </si>
  <si>
    <t>REINFORCE, BELT ANC TO QTR, INNER LWR RH</t>
  </si>
  <si>
    <t>61414-BZ010</t>
  </si>
  <si>
    <t>REINFORCEMENT,ROCKER PANEL,NO.2 LH</t>
  </si>
  <si>
    <t>61769-BZ070</t>
  </si>
  <si>
    <t>REINFORCE, BELT ANC TO QTR, INNER LWR LH</t>
  </si>
  <si>
    <t>A</t>
  </si>
  <si>
    <t>-</t>
  </si>
  <si>
    <t>setting_date</t>
  </si>
  <si>
    <t>setting_shift</t>
  </si>
  <si>
    <t>setting_time</t>
  </si>
  <si>
    <t>pos_level</t>
  </si>
  <si>
    <t>qty/kbn</t>
  </si>
  <si>
    <t>remark</t>
  </si>
  <si>
    <t>Note</t>
  </si>
  <si>
    <t>ADMP4-A2</t>
  </si>
  <si>
    <t>DN4111000000129A</t>
  </si>
  <si>
    <t>33823-BZ011</t>
  </si>
  <si>
    <t>BRKT TRANSMISION CTRL CABLE</t>
  </si>
  <si>
    <t>NX-2593</t>
  </si>
  <si>
    <t>TEST TRIAL</t>
  </si>
  <si>
    <t>48807-BZ010</t>
  </si>
  <si>
    <t>BRKT S/A STABILIZER LH</t>
  </si>
  <si>
    <t>AX-0610</t>
  </si>
  <si>
    <t>48809-BZ010</t>
  </si>
  <si>
    <t>BRKT S/A STABILIZER RH</t>
  </si>
  <si>
    <t>AX-0611</t>
  </si>
  <si>
    <t>51177-BZ010</t>
  </si>
  <si>
    <t>REINFORCEMENT RR SPRING HANGER</t>
  </si>
  <si>
    <t>GT-2800</t>
  </si>
  <si>
    <t>51478-BZ010</t>
  </si>
  <si>
    <t>PLT ENGINE UNDER CVR SIDE LH</t>
  </si>
  <si>
    <t>GT-4203</t>
  </si>
  <si>
    <t>51568-BZ010</t>
  </si>
  <si>
    <t>BRKT PROPELLER SHAFT GUARD</t>
  </si>
  <si>
    <t>NT-0111</t>
  </si>
  <si>
    <t>51568-BZ020</t>
  </si>
  <si>
    <t>NT-0112</t>
  </si>
  <si>
    <t>51568-BZ030</t>
  </si>
  <si>
    <t>GT-4635</t>
  </si>
  <si>
    <t>52185-BZ080</t>
  </si>
  <si>
    <t>BRKT BMPR SIDE MTG</t>
  </si>
  <si>
    <t>AX-3089</t>
  </si>
  <si>
    <t>52185-BZ120</t>
  </si>
  <si>
    <t>NT-0144</t>
  </si>
  <si>
    <t>Project</t>
  </si>
  <si>
    <t>DN4111000000130A</t>
  </si>
  <si>
    <t>53785-BZ020</t>
  </si>
  <si>
    <t>GST FR FENDER APRON RH</t>
  </si>
  <si>
    <t>NT-0199</t>
  </si>
  <si>
    <t>53786-BZ020</t>
  </si>
  <si>
    <t>GST FR FENDER APRON LH</t>
  </si>
  <si>
    <t>NT-0200</t>
  </si>
  <si>
    <t>55133-BZ040</t>
  </si>
  <si>
    <t>REINF DASH TO FLOR RH</t>
  </si>
  <si>
    <t>NT-0215</t>
  </si>
  <si>
    <t>55134-BZ030</t>
  </si>
  <si>
    <t>REINF DASH TO FLOR LH</t>
  </si>
  <si>
    <t>NT-0216</t>
  </si>
  <si>
    <t>55522-BZ080</t>
  </si>
  <si>
    <t>CVR RADIO TUNER OPG</t>
  </si>
  <si>
    <t>NX-3530</t>
  </si>
  <si>
    <t>55719-BZ160</t>
  </si>
  <si>
    <t>BRKT WINDSHIELD WIPER MTR</t>
  </si>
  <si>
    <t>NT-0269</t>
  </si>
  <si>
    <t>55719-BZ170</t>
  </si>
  <si>
    <t>NT-0270</t>
  </si>
  <si>
    <t>57157-BZ010</t>
  </si>
  <si>
    <t>BRKT FLEXIBLE HOUSE MTG R</t>
  </si>
  <si>
    <t>AX-2246</t>
  </si>
  <si>
    <t>57158-BZ010</t>
  </si>
  <si>
    <t>BRKT FLEXIBLE HOUSE MTG L</t>
  </si>
  <si>
    <t>AX-2247</t>
  </si>
  <si>
    <t>57257-BZ030</t>
  </si>
  <si>
    <t>BRKT ENGINE RR MTG MEMBER RH</t>
  </si>
  <si>
    <t>NX-2927</t>
  </si>
  <si>
    <t>57645-BZ050</t>
  </si>
  <si>
    <t>REINF RR SIDE MEMBER RH</t>
  </si>
  <si>
    <t>GT-1382</t>
  </si>
  <si>
    <t>ASI</t>
  </si>
  <si>
    <t>ASI000076418</t>
  </si>
  <si>
    <t>65713-BZ010</t>
  </si>
  <si>
    <t>POST TAIL GATE RH</t>
  </si>
  <si>
    <t>TAIL GATE RH</t>
  </si>
  <si>
    <t>DN4500032213</t>
  </si>
  <si>
    <t>RETAINER DOOR HINGE</t>
  </si>
  <si>
    <t>Y-4035 M4</t>
  </si>
  <si>
    <t>67181-BZ090</t>
  </si>
  <si>
    <t>GK-0037</t>
  </si>
  <si>
    <t>AWI</t>
  </si>
  <si>
    <t>DN0004AWI</t>
  </si>
  <si>
    <t>82715-BZ770</t>
  </si>
  <si>
    <t>BRKT WIRING HARNESS CLAMP</t>
  </si>
  <si>
    <t>82715-BZA60</t>
  </si>
  <si>
    <t>HMMI</t>
  </si>
  <si>
    <t>DN00003HMMI</t>
  </si>
  <si>
    <t>17452-EW010-00</t>
  </si>
  <si>
    <t>CLAMP EXHAUST PIPE</t>
  </si>
  <si>
    <t>Prohect XXX</t>
  </si>
  <si>
    <t>75102-EW030-00</t>
  </si>
  <si>
    <t>BRACKET S/A RR LICENSE PLATE</t>
  </si>
  <si>
    <t>ADMP1-SA</t>
  </si>
  <si>
    <t>67181-87Z06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</si>
</sst>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NumberFormat="1" applyFont="1" applyAlignment="1">
      <alignment vertical="center"/>
    </xf>
    <xf numFmtId="0" fontId="1" fillId="2" borderId="1" xfId="0" applyFont="1" applyFill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1" fontId="1" fillId="0" borderId="1" xfId="0" applyNumberFormat="1" applyFont="1" applyBorder="1" applyAlignment="1">
      <alignment horizontal="left" vertical="center"/>
    </xf>
    <xf numFmtId="21" fontId="1" fillId="0" borderId="1" xfId="0" applyNumberFormat="1" applyFont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9"/>
  <sheetViews>
    <sheetView tabSelected="1" zoomScale="85" zoomScaleNormal="85" workbookViewId="0">
      <selection activeCell="I24" sqref="I24"/>
    </sheetView>
  </sheetViews>
  <sheetFormatPr defaultColWidth="9" defaultRowHeight="15" x14ac:dyDescent="0.25"/>
  <cols>
    <col min="1" max="1" width="3.3984375" style="11" bestFit="1" customWidth="1"/>
    <col min="2" max="2" width="15.3984375" style="11" bestFit="1" customWidth="1"/>
    <col min="3" max="3" width="18.3984375" style="12" bestFit="1" customWidth="1"/>
    <col min="4" max="4" width="10.59765625" style="11" customWidth="1"/>
    <col min="5" max="5" width="15.69921875" style="11" customWidth="1"/>
    <col min="6" max="6" width="7.3984375" style="10" customWidth="1"/>
    <col min="7" max="7" width="16.59765625" style="10" bestFit="1" customWidth="1"/>
    <col min="8" max="8" width="38.8984375" style="13" bestFit="1" customWidth="1"/>
    <col min="9" max="9" width="11.59765625" style="16" bestFit="1" customWidth="1"/>
    <col min="10" max="10" width="11.59765625" style="11" bestFit="1" customWidth="1"/>
    <col min="11" max="11" width="10.69921875" style="10" bestFit="1" customWidth="1"/>
    <col min="12" max="12" width="9.8984375" style="12" bestFit="1" customWidth="1"/>
    <col min="13" max="13" width="12.3984375" style="10" bestFit="1" customWidth="1"/>
    <col min="14" max="15" width="12" style="10" bestFit="1" customWidth="1"/>
    <col min="16" max="16" width="12" style="11" customWidth="1"/>
    <col min="17" max="18" width="11.8984375" style="10" bestFit="1" customWidth="1"/>
    <col min="19" max="16384" width="9" style="10"/>
  </cols>
  <sheetData>
    <row r="1" spans="1:18" s="5" customFormat="1" x14ac:dyDescent="0.25">
      <c r="A1" s="1" t="s">
        <v>0</v>
      </c>
      <c r="B1" s="2" t="s">
        <v>2</v>
      </c>
      <c r="C1" s="3" t="s">
        <v>3</v>
      </c>
      <c r="D1" s="4" t="s">
        <v>1</v>
      </c>
      <c r="E1" s="3" t="s">
        <v>10</v>
      </c>
      <c r="F1" s="2" t="s">
        <v>9</v>
      </c>
      <c r="G1" s="1" t="s">
        <v>5</v>
      </c>
      <c r="H1" s="3" t="s">
        <v>6</v>
      </c>
      <c r="I1" s="2" t="s">
        <v>4</v>
      </c>
      <c r="J1" s="14" t="s">
        <v>62</v>
      </c>
      <c r="K1" s="20" t="s">
        <v>8</v>
      </c>
      <c r="L1" s="14" t="s">
        <v>7</v>
      </c>
      <c r="M1" s="14" t="s">
        <v>58</v>
      </c>
      <c r="N1" s="14" t="s">
        <v>59</v>
      </c>
      <c r="O1" s="14" t="s">
        <v>60</v>
      </c>
      <c r="P1" s="1" t="s">
        <v>61</v>
      </c>
      <c r="Q1" s="14" t="s">
        <v>63</v>
      </c>
      <c r="R1" s="14" t="s">
        <v>64</v>
      </c>
    </row>
    <row r="2" spans="1:18" x14ac:dyDescent="0.25">
      <c r="A2" s="6">
        <v>1</v>
      </c>
      <c r="B2" s="7" t="s">
        <v>65</v>
      </c>
      <c r="C2" s="8" t="s">
        <v>66</v>
      </c>
      <c r="D2" s="17">
        <v>44642</v>
      </c>
      <c r="E2" s="18">
        <v>0.3125</v>
      </c>
      <c r="F2" s="9">
        <v>1</v>
      </c>
      <c r="G2" s="17" t="s">
        <v>67</v>
      </c>
      <c r="H2" s="8" t="s">
        <v>68</v>
      </c>
      <c r="I2" s="6" t="s">
        <v>69</v>
      </c>
      <c r="J2" s="9">
        <v>35</v>
      </c>
      <c r="K2" s="21">
        <v>2</v>
      </c>
      <c r="L2" s="22">
        <f t="shared" ref="L2:L22" si="0">K2*J2</f>
        <v>70</v>
      </c>
      <c r="M2" s="17">
        <v>44639</v>
      </c>
      <c r="N2" s="9" t="s">
        <v>56</v>
      </c>
      <c r="O2" s="19">
        <v>0.41666666666666669</v>
      </c>
      <c r="P2" s="6">
        <v>1</v>
      </c>
      <c r="Q2" s="9"/>
      <c r="R2" s="9" t="s">
        <v>70</v>
      </c>
    </row>
    <row r="3" spans="1:18" x14ac:dyDescent="0.25">
      <c r="A3" s="6">
        <v>2</v>
      </c>
      <c r="B3" s="7" t="s">
        <v>65</v>
      </c>
      <c r="C3" s="8" t="s">
        <v>66</v>
      </c>
      <c r="D3" s="17">
        <v>44642</v>
      </c>
      <c r="E3" s="18">
        <v>0.3125</v>
      </c>
      <c r="F3" s="9">
        <v>1</v>
      </c>
      <c r="G3" s="17" t="s">
        <v>71</v>
      </c>
      <c r="H3" s="8" t="s">
        <v>72</v>
      </c>
      <c r="I3" s="6" t="s">
        <v>73</v>
      </c>
      <c r="J3" s="9">
        <v>30</v>
      </c>
      <c r="K3" s="21">
        <v>5</v>
      </c>
      <c r="L3" s="22">
        <f t="shared" si="0"/>
        <v>150</v>
      </c>
      <c r="M3" s="17">
        <v>44639</v>
      </c>
      <c r="N3" s="9" t="s">
        <v>56</v>
      </c>
      <c r="O3" s="19">
        <v>0.41666666666666669</v>
      </c>
      <c r="P3" s="6">
        <v>1</v>
      </c>
      <c r="Q3" s="9"/>
      <c r="R3" s="9" t="s">
        <v>70</v>
      </c>
    </row>
    <row r="4" spans="1:18" x14ac:dyDescent="0.25">
      <c r="A4" s="6">
        <v>3</v>
      </c>
      <c r="B4" s="7" t="s">
        <v>65</v>
      </c>
      <c r="C4" s="8" t="s">
        <v>66</v>
      </c>
      <c r="D4" s="17">
        <v>44642</v>
      </c>
      <c r="E4" s="18">
        <v>0.3125</v>
      </c>
      <c r="F4" s="9">
        <v>1</v>
      </c>
      <c r="G4" s="6" t="s">
        <v>74</v>
      </c>
      <c r="H4" s="23" t="s">
        <v>75</v>
      </c>
      <c r="I4" s="6" t="s">
        <v>76</v>
      </c>
      <c r="J4" s="9">
        <v>30</v>
      </c>
      <c r="K4" s="21">
        <v>4</v>
      </c>
      <c r="L4" s="22">
        <f t="shared" si="0"/>
        <v>120</v>
      </c>
      <c r="M4" s="17">
        <v>44639</v>
      </c>
      <c r="N4" s="9" t="s">
        <v>56</v>
      </c>
      <c r="O4" s="19">
        <v>0.41666666666666669</v>
      </c>
      <c r="P4" s="6">
        <v>1</v>
      </c>
      <c r="Q4" s="9"/>
      <c r="R4" s="9" t="s">
        <v>70</v>
      </c>
    </row>
    <row r="5" spans="1:18" x14ac:dyDescent="0.25">
      <c r="A5" s="6">
        <v>4</v>
      </c>
      <c r="B5" s="7" t="s">
        <v>65</v>
      </c>
      <c r="C5" s="8" t="s">
        <v>66</v>
      </c>
      <c r="D5" s="17">
        <v>44642</v>
      </c>
      <c r="E5" s="18">
        <v>0.3125</v>
      </c>
      <c r="F5" s="9">
        <v>1</v>
      </c>
      <c r="G5" s="6" t="s">
        <v>77</v>
      </c>
      <c r="H5" s="23" t="s">
        <v>78</v>
      </c>
      <c r="I5" s="6" t="s">
        <v>79</v>
      </c>
      <c r="J5" s="9">
        <v>100</v>
      </c>
      <c r="K5" s="21">
        <v>3</v>
      </c>
      <c r="L5" s="22">
        <f t="shared" si="0"/>
        <v>300</v>
      </c>
      <c r="M5" s="17">
        <v>44639</v>
      </c>
      <c r="N5" s="9" t="s">
        <v>56</v>
      </c>
      <c r="O5" s="19">
        <v>0.41666666666666669</v>
      </c>
      <c r="P5" s="6">
        <v>1</v>
      </c>
      <c r="Q5" s="9"/>
      <c r="R5" s="9" t="s">
        <v>70</v>
      </c>
    </row>
    <row r="6" spans="1:18" x14ac:dyDescent="0.25">
      <c r="A6" s="6">
        <v>5</v>
      </c>
      <c r="B6" s="7" t="s">
        <v>65</v>
      </c>
      <c r="C6" s="8" t="s">
        <v>66</v>
      </c>
      <c r="D6" s="17">
        <v>44642</v>
      </c>
      <c r="E6" s="18">
        <v>0.3125</v>
      </c>
      <c r="F6" s="9">
        <v>1</v>
      </c>
      <c r="G6" s="6" t="s">
        <v>80</v>
      </c>
      <c r="H6" s="23" t="s">
        <v>81</v>
      </c>
      <c r="I6" s="6" t="s">
        <v>82</v>
      </c>
      <c r="J6" s="9">
        <v>100</v>
      </c>
      <c r="K6" s="21">
        <v>4</v>
      </c>
      <c r="L6" s="22">
        <f t="shared" si="0"/>
        <v>400</v>
      </c>
      <c r="M6" s="17">
        <v>44639</v>
      </c>
      <c r="N6" s="9" t="s">
        <v>56</v>
      </c>
      <c r="O6" s="19">
        <v>0.41666666666666669</v>
      </c>
      <c r="P6" s="6">
        <v>1</v>
      </c>
      <c r="Q6" s="9"/>
      <c r="R6" s="9" t="s">
        <v>70</v>
      </c>
    </row>
    <row r="7" spans="1:18" x14ac:dyDescent="0.25">
      <c r="A7" s="6">
        <v>6</v>
      </c>
      <c r="B7" s="7" t="s">
        <v>65</v>
      </c>
      <c r="C7" s="8" t="s">
        <v>66</v>
      </c>
      <c r="D7" s="17">
        <v>44642</v>
      </c>
      <c r="E7" s="18">
        <v>0.3125</v>
      </c>
      <c r="F7" s="9">
        <v>1</v>
      </c>
      <c r="G7" s="6" t="s">
        <v>83</v>
      </c>
      <c r="H7" s="23" t="s">
        <v>84</v>
      </c>
      <c r="I7" s="6" t="s">
        <v>85</v>
      </c>
      <c r="J7" s="9">
        <v>40</v>
      </c>
      <c r="K7" s="21">
        <v>3</v>
      </c>
      <c r="L7" s="22">
        <f t="shared" si="0"/>
        <v>120</v>
      </c>
      <c r="M7" s="17">
        <v>44639</v>
      </c>
      <c r="N7" s="9" t="s">
        <v>56</v>
      </c>
      <c r="O7" s="19">
        <v>0.41666666666666669</v>
      </c>
      <c r="P7" s="6">
        <v>1</v>
      </c>
      <c r="Q7" s="9"/>
      <c r="R7" s="9" t="s">
        <v>70</v>
      </c>
    </row>
    <row r="8" spans="1:18" x14ac:dyDescent="0.25">
      <c r="A8" s="6">
        <v>7</v>
      </c>
      <c r="B8" s="7" t="s">
        <v>65</v>
      </c>
      <c r="C8" s="8" t="s">
        <v>66</v>
      </c>
      <c r="D8" s="17">
        <v>44642</v>
      </c>
      <c r="E8" s="18">
        <v>0.3125</v>
      </c>
      <c r="F8" s="9">
        <v>1</v>
      </c>
      <c r="G8" s="6" t="s">
        <v>86</v>
      </c>
      <c r="H8" s="23" t="s">
        <v>84</v>
      </c>
      <c r="I8" s="6" t="s">
        <v>87</v>
      </c>
      <c r="J8" s="9">
        <v>40</v>
      </c>
      <c r="K8" s="21">
        <v>1</v>
      </c>
      <c r="L8" s="22">
        <f t="shared" si="0"/>
        <v>40</v>
      </c>
      <c r="M8" s="17">
        <v>44639</v>
      </c>
      <c r="N8" s="9" t="s">
        <v>56</v>
      </c>
      <c r="O8" s="19">
        <v>0.41666666666666669</v>
      </c>
      <c r="P8" s="6">
        <v>1</v>
      </c>
      <c r="Q8" s="9"/>
      <c r="R8" s="9" t="s">
        <v>70</v>
      </c>
    </row>
    <row r="9" spans="1:18" x14ac:dyDescent="0.25">
      <c r="A9" s="6">
        <v>8</v>
      </c>
      <c r="B9" s="7" t="s">
        <v>65</v>
      </c>
      <c r="C9" s="8" t="s">
        <v>66</v>
      </c>
      <c r="D9" s="17">
        <v>44642</v>
      </c>
      <c r="E9" s="18">
        <v>0.3125</v>
      </c>
      <c r="F9" s="9">
        <v>1</v>
      </c>
      <c r="G9" s="6" t="s">
        <v>88</v>
      </c>
      <c r="H9" s="23" t="s">
        <v>84</v>
      </c>
      <c r="I9" s="6" t="s">
        <v>89</v>
      </c>
      <c r="J9" s="9">
        <v>40</v>
      </c>
      <c r="K9" s="21">
        <v>2</v>
      </c>
      <c r="L9" s="22">
        <f t="shared" si="0"/>
        <v>80</v>
      </c>
      <c r="M9" s="17">
        <v>44639</v>
      </c>
      <c r="N9" s="9" t="s">
        <v>56</v>
      </c>
      <c r="O9" s="19">
        <v>0.41666666666666669</v>
      </c>
      <c r="P9" s="6">
        <v>1</v>
      </c>
      <c r="Q9" s="9"/>
      <c r="R9" s="9" t="s">
        <v>70</v>
      </c>
    </row>
    <row r="10" spans="1:18" x14ac:dyDescent="0.25">
      <c r="A10" s="6">
        <v>9</v>
      </c>
      <c r="B10" s="7" t="s">
        <v>65</v>
      </c>
      <c r="C10" s="8" t="s">
        <v>66</v>
      </c>
      <c r="D10" s="17">
        <v>44642</v>
      </c>
      <c r="E10" s="18">
        <v>0.3125</v>
      </c>
      <c r="F10" s="9">
        <v>1</v>
      </c>
      <c r="G10" s="6" t="s">
        <v>90</v>
      </c>
      <c r="H10" s="23" t="s">
        <v>91</v>
      </c>
      <c r="I10" s="6" t="s">
        <v>92</v>
      </c>
      <c r="J10" s="9">
        <v>100</v>
      </c>
      <c r="K10" s="21">
        <v>1</v>
      </c>
      <c r="L10" s="22">
        <f t="shared" si="0"/>
        <v>100</v>
      </c>
      <c r="M10" s="17">
        <v>44639</v>
      </c>
      <c r="N10" s="9" t="s">
        <v>56</v>
      </c>
      <c r="O10" s="19">
        <v>0.41666666666666669</v>
      </c>
      <c r="P10" s="6">
        <v>1</v>
      </c>
      <c r="Q10" s="9"/>
      <c r="R10" s="9" t="s">
        <v>70</v>
      </c>
    </row>
    <row r="11" spans="1:18" x14ac:dyDescent="0.25">
      <c r="A11" s="6">
        <v>10</v>
      </c>
      <c r="B11" s="7" t="s">
        <v>65</v>
      </c>
      <c r="C11" s="8" t="s">
        <v>66</v>
      </c>
      <c r="D11" s="17">
        <v>44642</v>
      </c>
      <c r="E11" s="18">
        <v>0.3125</v>
      </c>
      <c r="F11" s="9">
        <v>1</v>
      </c>
      <c r="G11" s="6" t="s">
        <v>93</v>
      </c>
      <c r="H11" s="23" t="s">
        <v>91</v>
      </c>
      <c r="I11" s="6" t="s">
        <v>94</v>
      </c>
      <c r="J11" s="9">
        <v>100</v>
      </c>
      <c r="K11" s="21">
        <v>2</v>
      </c>
      <c r="L11" s="22">
        <f t="shared" si="0"/>
        <v>200</v>
      </c>
      <c r="M11" s="17">
        <v>44639</v>
      </c>
      <c r="N11" s="9" t="s">
        <v>56</v>
      </c>
      <c r="O11" s="19">
        <v>0.41666666666666669</v>
      </c>
      <c r="P11" s="6">
        <v>1</v>
      </c>
      <c r="Q11" s="9" t="s">
        <v>95</v>
      </c>
      <c r="R11" s="9" t="s">
        <v>70</v>
      </c>
    </row>
    <row r="12" spans="1:18" x14ac:dyDescent="0.25">
      <c r="A12" s="6">
        <v>11</v>
      </c>
      <c r="B12" s="7" t="s">
        <v>65</v>
      </c>
      <c r="C12" s="8" t="s">
        <v>96</v>
      </c>
      <c r="D12" s="17">
        <v>44642</v>
      </c>
      <c r="E12" s="18">
        <v>0.54166666666666663</v>
      </c>
      <c r="F12" s="9">
        <v>2</v>
      </c>
      <c r="G12" s="6" t="s">
        <v>97</v>
      </c>
      <c r="H12" s="23" t="s">
        <v>98</v>
      </c>
      <c r="I12" s="6" t="s">
        <v>99</v>
      </c>
      <c r="J12" s="9">
        <v>180</v>
      </c>
      <c r="K12" s="21">
        <v>5</v>
      </c>
      <c r="L12" s="22">
        <f t="shared" si="0"/>
        <v>900</v>
      </c>
      <c r="M12" s="17">
        <v>44639</v>
      </c>
      <c r="N12" s="9" t="s">
        <v>56</v>
      </c>
      <c r="O12" s="19">
        <v>0.54166666666666663</v>
      </c>
      <c r="P12" s="6">
        <v>1</v>
      </c>
      <c r="Q12" s="9"/>
      <c r="R12" s="9" t="s">
        <v>70</v>
      </c>
    </row>
    <row r="13" spans="1:18" x14ac:dyDescent="0.25">
      <c r="A13" s="6">
        <v>12</v>
      </c>
      <c r="B13" s="7" t="s">
        <v>65</v>
      </c>
      <c r="C13" s="8" t="s">
        <v>96</v>
      </c>
      <c r="D13" s="17">
        <v>44642</v>
      </c>
      <c r="E13" s="18">
        <v>0.54166666666666663</v>
      </c>
      <c r="F13" s="9">
        <v>2</v>
      </c>
      <c r="G13" s="6" t="s">
        <v>100</v>
      </c>
      <c r="H13" s="23" t="s">
        <v>101</v>
      </c>
      <c r="I13" s="6" t="s">
        <v>102</v>
      </c>
      <c r="J13" s="9">
        <v>180</v>
      </c>
      <c r="K13" s="21">
        <v>4</v>
      </c>
      <c r="L13" s="22">
        <f t="shared" si="0"/>
        <v>720</v>
      </c>
      <c r="M13" s="17">
        <v>44639</v>
      </c>
      <c r="N13" s="9" t="s">
        <v>56</v>
      </c>
      <c r="O13" s="19">
        <v>0.54166666666666663</v>
      </c>
      <c r="P13" s="6">
        <v>1</v>
      </c>
      <c r="Q13" s="9"/>
      <c r="R13" s="9" t="s">
        <v>70</v>
      </c>
    </row>
    <row r="14" spans="1:18" x14ac:dyDescent="0.25">
      <c r="A14" s="6">
        <v>13</v>
      </c>
      <c r="B14" s="7" t="s">
        <v>65</v>
      </c>
      <c r="C14" s="8" t="s">
        <v>96</v>
      </c>
      <c r="D14" s="17">
        <v>44642</v>
      </c>
      <c r="E14" s="18">
        <v>0.54166666666666663</v>
      </c>
      <c r="F14" s="9">
        <v>2</v>
      </c>
      <c r="G14" s="6" t="s">
        <v>103</v>
      </c>
      <c r="H14" s="23" t="s">
        <v>104</v>
      </c>
      <c r="I14" s="6" t="s">
        <v>105</v>
      </c>
      <c r="J14" s="9">
        <v>20</v>
      </c>
      <c r="K14" s="21">
        <v>3</v>
      </c>
      <c r="L14" s="22">
        <f t="shared" si="0"/>
        <v>60</v>
      </c>
      <c r="M14" s="17">
        <v>44639</v>
      </c>
      <c r="N14" s="9" t="s">
        <v>56</v>
      </c>
      <c r="O14" s="19">
        <v>0.54166666666666663</v>
      </c>
      <c r="P14" s="6">
        <v>1</v>
      </c>
      <c r="Q14" s="9"/>
      <c r="R14" s="9" t="s">
        <v>70</v>
      </c>
    </row>
    <row r="15" spans="1:18" x14ac:dyDescent="0.25">
      <c r="A15" s="6">
        <v>14</v>
      </c>
      <c r="B15" s="7" t="s">
        <v>65</v>
      </c>
      <c r="C15" s="8" t="s">
        <v>96</v>
      </c>
      <c r="D15" s="17">
        <v>44642</v>
      </c>
      <c r="E15" s="18">
        <v>0.54166666666666663</v>
      </c>
      <c r="F15" s="9">
        <v>2</v>
      </c>
      <c r="G15" s="6" t="s">
        <v>106</v>
      </c>
      <c r="H15" s="23" t="s">
        <v>107</v>
      </c>
      <c r="I15" s="6" t="s">
        <v>108</v>
      </c>
      <c r="J15" s="9">
        <v>30</v>
      </c>
      <c r="K15" s="21">
        <v>1</v>
      </c>
      <c r="L15" s="22">
        <f t="shared" si="0"/>
        <v>30</v>
      </c>
      <c r="M15" s="17">
        <v>44639</v>
      </c>
      <c r="N15" s="9" t="s">
        <v>56</v>
      </c>
      <c r="O15" s="19">
        <v>0.54166666666666663</v>
      </c>
      <c r="P15" s="6">
        <v>1</v>
      </c>
      <c r="Q15" s="9"/>
      <c r="R15" s="9" t="s">
        <v>70</v>
      </c>
    </row>
    <row r="16" spans="1:18" x14ac:dyDescent="0.25">
      <c r="A16" s="6">
        <v>15</v>
      </c>
      <c r="B16" s="7" t="s">
        <v>65</v>
      </c>
      <c r="C16" s="8" t="s">
        <v>96</v>
      </c>
      <c r="D16" s="17">
        <v>44642</v>
      </c>
      <c r="E16" s="18">
        <v>0.54166666666666663</v>
      </c>
      <c r="F16" s="9">
        <v>2</v>
      </c>
      <c r="G16" s="6" t="s">
        <v>109</v>
      </c>
      <c r="H16" s="23" t="s">
        <v>110</v>
      </c>
      <c r="I16" s="6" t="s">
        <v>111</v>
      </c>
      <c r="J16" s="9">
        <v>12</v>
      </c>
      <c r="K16" s="21">
        <v>1</v>
      </c>
      <c r="L16" s="22">
        <f t="shared" si="0"/>
        <v>12</v>
      </c>
      <c r="M16" s="17">
        <v>44639</v>
      </c>
      <c r="N16" s="9" t="s">
        <v>56</v>
      </c>
      <c r="O16" s="19">
        <v>0.54166666666666663</v>
      </c>
      <c r="P16" s="6">
        <v>1</v>
      </c>
      <c r="Q16" s="9"/>
      <c r="R16" s="9" t="s">
        <v>70</v>
      </c>
    </row>
    <row r="17" spans="1:18" x14ac:dyDescent="0.25">
      <c r="A17" s="6">
        <v>16</v>
      </c>
      <c r="B17" s="7" t="s">
        <v>65</v>
      </c>
      <c r="C17" s="8" t="s">
        <v>96</v>
      </c>
      <c r="D17" s="17">
        <v>44642</v>
      </c>
      <c r="E17" s="18">
        <v>0.54166666666666663</v>
      </c>
      <c r="F17" s="9">
        <v>2</v>
      </c>
      <c r="G17" s="6" t="s">
        <v>112</v>
      </c>
      <c r="H17" s="23" t="s">
        <v>113</v>
      </c>
      <c r="I17" s="6" t="s">
        <v>114</v>
      </c>
      <c r="J17" s="9">
        <v>240</v>
      </c>
      <c r="K17" s="21">
        <v>2</v>
      </c>
      <c r="L17" s="22">
        <f t="shared" si="0"/>
        <v>480</v>
      </c>
      <c r="M17" s="17">
        <v>44639</v>
      </c>
      <c r="N17" s="9" t="s">
        <v>56</v>
      </c>
      <c r="O17" s="19">
        <v>0.54166666666666663</v>
      </c>
      <c r="P17" s="6">
        <v>1</v>
      </c>
      <c r="Q17" s="9"/>
      <c r="R17" s="9" t="s">
        <v>70</v>
      </c>
    </row>
    <row r="18" spans="1:18" x14ac:dyDescent="0.25">
      <c r="A18" s="6">
        <v>17</v>
      </c>
      <c r="B18" s="7" t="s">
        <v>65</v>
      </c>
      <c r="C18" s="8" t="s">
        <v>96</v>
      </c>
      <c r="D18" s="17">
        <v>44642</v>
      </c>
      <c r="E18" s="18">
        <v>0.54166666666666663</v>
      </c>
      <c r="F18" s="9">
        <v>2</v>
      </c>
      <c r="G18" s="6" t="s">
        <v>115</v>
      </c>
      <c r="H18" s="23" t="s">
        <v>113</v>
      </c>
      <c r="I18" s="6" t="s">
        <v>116</v>
      </c>
      <c r="J18" s="9">
        <v>240</v>
      </c>
      <c r="K18" s="21">
        <v>4</v>
      </c>
      <c r="L18" s="22">
        <f t="shared" si="0"/>
        <v>960</v>
      </c>
      <c r="M18" s="17">
        <v>44639</v>
      </c>
      <c r="N18" s="9" t="s">
        <v>56</v>
      </c>
      <c r="O18" s="19">
        <v>0.54166666666666663</v>
      </c>
      <c r="P18" s="6">
        <v>1</v>
      </c>
      <c r="Q18" s="9"/>
      <c r="R18" s="9" t="s">
        <v>70</v>
      </c>
    </row>
    <row r="19" spans="1:18" x14ac:dyDescent="0.25">
      <c r="A19" s="6">
        <v>18</v>
      </c>
      <c r="B19" s="7" t="s">
        <v>65</v>
      </c>
      <c r="C19" s="8" t="s">
        <v>96</v>
      </c>
      <c r="D19" s="17">
        <v>44642</v>
      </c>
      <c r="E19" s="18">
        <v>0.54166666666666663</v>
      </c>
      <c r="F19" s="9">
        <v>2</v>
      </c>
      <c r="G19" s="6" t="s">
        <v>117</v>
      </c>
      <c r="H19" s="23" t="s">
        <v>118</v>
      </c>
      <c r="I19" s="6" t="s">
        <v>119</v>
      </c>
      <c r="J19" s="9">
        <v>300</v>
      </c>
      <c r="K19" s="21">
        <v>2</v>
      </c>
      <c r="L19" s="22">
        <f t="shared" si="0"/>
        <v>600</v>
      </c>
      <c r="M19" s="17">
        <v>44639</v>
      </c>
      <c r="N19" s="9" t="s">
        <v>56</v>
      </c>
      <c r="O19" s="19">
        <v>0.54166666666666663</v>
      </c>
      <c r="P19" s="6">
        <v>1</v>
      </c>
      <c r="Q19" s="9"/>
      <c r="R19" s="9" t="s">
        <v>70</v>
      </c>
    </row>
    <row r="20" spans="1:18" x14ac:dyDescent="0.25">
      <c r="A20" s="6">
        <v>19</v>
      </c>
      <c r="B20" s="7" t="s">
        <v>65</v>
      </c>
      <c r="C20" s="8" t="s">
        <v>96</v>
      </c>
      <c r="D20" s="17">
        <v>44642</v>
      </c>
      <c r="E20" s="18">
        <v>0.54166666666666663</v>
      </c>
      <c r="F20" s="9">
        <v>2</v>
      </c>
      <c r="G20" s="6" t="s">
        <v>120</v>
      </c>
      <c r="H20" s="23" t="s">
        <v>121</v>
      </c>
      <c r="I20" s="6" t="s">
        <v>122</v>
      </c>
      <c r="J20" s="9">
        <v>300</v>
      </c>
      <c r="K20" s="21">
        <v>3</v>
      </c>
      <c r="L20" s="22">
        <f t="shared" si="0"/>
        <v>900</v>
      </c>
      <c r="M20" s="17">
        <v>44639</v>
      </c>
      <c r="N20" s="9" t="s">
        <v>56</v>
      </c>
      <c r="O20" s="19">
        <v>0.54166666666666663</v>
      </c>
      <c r="P20" s="6">
        <v>1</v>
      </c>
      <c r="Q20" s="9"/>
      <c r="R20" s="9" t="s">
        <v>70</v>
      </c>
    </row>
    <row r="21" spans="1:18" x14ac:dyDescent="0.25">
      <c r="A21" s="6">
        <v>20</v>
      </c>
      <c r="B21" s="7" t="s">
        <v>65</v>
      </c>
      <c r="C21" s="8" t="s">
        <v>96</v>
      </c>
      <c r="D21" s="17">
        <v>44642</v>
      </c>
      <c r="E21" s="18">
        <v>0.54166666666666663</v>
      </c>
      <c r="F21" s="9">
        <v>2</v>
      </c>
      <c r="G21" s="6" t="s">
        <v>123</v>
      </c>
      <c r="H21" s="23" t="s">
        <v>124</v>
      </c>
      <c r="I21" s="6" t="s">
        <v>125</v>
      </c>
      <c r="J21" s="9">
        <v>15</v>
      </c>
      <c r="K21" s="21">
        <v>1</v>
      </c>
      <c r="L21" s="22">
        <f t="shared" si="0"/>
        <v>15</v>
      </c>
      <c r="M21" s="17">
        <v>44639</v>
      </c>
      <c r="N21" s="9" t="s">
        <v>56</v>
      </c>
      <c r="O21" s="19">
        <v>0.54166666666666663</v>
      </c>
      <c r="P21" s="6">
        <v>1</v>
      </c>
      <c r="Q21" s="9"/>
      <c r="R21" s="9" t="s">
        <v>70</v>
      </c>
    </row>
    <row r="22" spans="1:18" x14ac:dyDescent="0.25">
      <c r="A22" s="6">
        <v>21</v>
      </c>
      <c r="B22" s="7" t="s">
        <v>65</v>
      </c>
      <c r="C22" s="8" t="s">
        <v>96</v>
      </c>
      <c r="D22" s="17">
        <v>44642</v>
      </c>
      <c r="E22" s="18">
        <v>0.54166666666666663</v>
      </c>
      <c r="F22" s="9">
        <v>2</v>
      </c>
      <c r="G22" s="6" t="s">
        <v>126</v>
      </c>
      <c r="H22" s="23" t="s">
        <v>127</v>
      </c>
      <c r="I22" s="6" t="s">
        <v>128</v>
      </c>
      <c r="J22" s="9">
        <v>40</v>
      </c>
      <c r="K22" s="21">
        <v>1</v>
      </c>
      <c r="L22" s="22">
        <f t="shared" si="0"/>
        <v>40</v>
      </c>
      <c r="M22" s="17">
        <v>44639</v>
      </c>
      <c r="N22" s="9" t="s">
        <v>56</v>
      </c>
      <c r="O22" s="19">
        <v>0.54166666666666663</v>
      </c>
      <c r="P22" s="6">
        <v>1</v>
      </c>
      <c r="Q22" s="9"/>
      <c r="R22" s="9" t="s">
        <v>70</v>
      </c>
    </row>
    <row r="23" spans="1:18" x14ac:dyDescent="0.25">
      <c r="A23" s="6">
        <v>22</v>
      </c>
      <c r="B23" s="9" t="s">
        <v>129</v>
      </c>
      <c r="C23" s="23" t="s">
        <v>130</v>
      </c>
      <c r="D23" s="17">
        <v>44642</v>
      </c>
      <c r="E23" s="18">
        <v>0.58333333333333337</v>
      </c>
      <c r="F23" s="9">
        <v>1</v>
      </c>
      <c r="G23" s="24" t="s">
        <v>131</v>
      </c>
      <c r="H23" s="25" t="s">
        <v>132</v>
      </c>
      <c r="I23" s="26" t="s">
        <v>133</v>
      </c>
      <c r="J23" s="9">
        <v>20</v>
      </c>
      <c r="K23" s="21">
        <v>3</v>
      </c>
      <c r="L23" s="9">
        <v>60</v>
      </c>
      <c r="M23" s="17">
        <v>44639</v>
      </c>
      <c r="N23" s="9" t="s">
        <v>56</v>
      </c>
      <c r="O23" s="19">
        <v>0.58333333333333337</v>
      </c>
      <c r="P23" s="6">
        <v>1</v>
      </c>
      <c r="Q23" s="9"/>
      <c r="R23" s="9" t="s">
        <v>70</v>
      </c>
    </row>
    <row r="24" spans="1:18" x14ac:dyDescent="0.25">
      <c r="A24" s="6">
        <v>23</v>
      </c>
      <c r="B24" s="9" t="s">
        <v>151</v>
      </c>
      <c r="C24" s="23" t="s">
        <v>134</v>
      </c>
      <c r="D24" s="17">
        <v>44642</v>
      </c>
      <c r="E24" s="18">
        <v>0.58333333333333337</v>
      </c>
      <c r="F24" s="9">
        <v>1</v>
      </c>
      <c r="G24" s="6" t="s">
        <v>152</v>
      </c>
      <c r="H24" s="23" t="s">
        <v>135</v>
      </c>
      <c r="I24" s="6" t="s">
        <v>136</v>
      </c>
      <c r="J24" s="9">
        <v>300</v>
      </c>
      <c r="K24" s="21">
        <v>5</v>
      </c>
      <c r="L24" s="9">
        <v>1500</v>
      </c>
      <c r="M24" s="17">
        <v>44639</v>
      </c>
      <c r="N24" s="9" t="s">
        <v>56</v>
      </c>
      <c r="O24" s="19">
        <v>0.58333333333333337</v>
      </c>
      <c r="P24" s="6">
        <v>1</v>
      </c>
      <c r="Q24" s="9"/>
      <c r="R24" s="9" t="s">
        <v>70</v>
      </c>
    </row>
    <row r="25" spans="1:18" x14ac:dyDescent="0.25">
      <c r="A25" s="6">
        <v>24</v>
      </c>
      <c r="B25" s="9" t="s">
        <v>151</v>
      </c>
      <c r="C25" s="23" t="s">
        <v>134</v>
      </c>
      <c r="D25" s="17">
        <v>44642</v>
      </c>
      <c r="E25" s="18">
        <v>0.58333333333333337</v>
      </c>
      <c r="F25" s="9">
        <v>1</v>
      </c>
      <c r="G25" s="6" t="s">
        <v>137</v>
      </c>
      <c r="H25" s="23" t="s">
        <v>135</v>
      </c>
      <c r="I25" s="6" t="s">
        <v>138</v>
      </c>
      <c r="J25" s="21">
        <v>100</v>
      </c>
      <c r="K25" s="21">
        <v>4</v>
      </c>
      <c r="L25" s="9">
        <v>400</v>
      </c>
      <c r="M25" s="17">
        <v>44639</v>
      </c>
      <c r="N25" s="9" t="s">
        <v>56</v>
      </c>
      <c r="O25" s="19">
        <v>0.58333333333333337</v>
      </c>
      <c r="P25" s="6">
        <v>1</v>
      </c>
      <c r="Q25" s="9"/>
      <c r="R25" s="9" t="s">
        <v>70</v>
      </c>
    </row>
    <row r="26" spans="1:18" x14ac:dyDescent="0.25">
      <c r="A26" s="6">
        <v>25</v>
      </c>
      <c r="B26" s="9" t="s">
        <v>139</v>
      </c>
      <c r="C26" s="23" t="s">
        <v>140</v>
      </c>
      <c r="D26" s="17">
        <v>44642</v>
      </c>
      <c r="E26" s="18">
        <v>0.58333333333333337</v>
      </c>
      <c r="F26" s="9">
        <v>1</v>
      </c>
      <c r="G26" s="6" t="s">
        <v>141</v>
      </c>
      <c r="H26" s="23" t="s">
        <v>142</v>
      </c>
      <c r="I26" s="6">
        <v>101090020</v>
      </c>
      <c r="J26" s="9">
        <v>100</v>
      </c>
      <c r="K26" s="21">
        <v>6</v>
      </c>
      <c r="L26" s="9">
        <v>600</v>
      </c>
      <c r="M26" s="17">
        <v>44639</v>
      </c>
      <c r="N26" s="9" t="s">
        <v>56</v>
      </c>
      <c r="O26" s="19">
        <v>0.58333333333333337</v>
      </c>
      <c r="P26" s="6">
        <v>1</v>
      </c>
      <c r="Q26" s="9"/>
      <c r="R26" s="9" t="s">
        <v>70</v>
      </c>
    </row>
    <row r="27" spans="1:18" x14ac:dyDescent="0.25">
      <c r="A27" s="6">
        <v>26</v>
      </c>
      <c r="B27" s="9" t="s">
        <v>139</v>
      </c>
      <c r="C27" s="23" t="s">
        <v>140</v>
      </c>
      <c r="D27" s="17">
        <v>44642</v>
      </c>
      <c r="E27" s="18">
        <v>0.58333333333333337</v>
      </c>
      <c r="F27" s="9">
        <v>1</v>
      </c>
      <c r="G27" s="15" t="s">
        <v>143</v>
      </c>
      <c r="H27" s="23" t="s">
        <v>142</v>
      </c>
      <c r="I27" s="6">
        <v>107760010</v>
      </c>
      <c r="J27" s="9">
        <v>100</v>
      </c>
      <c r="K27" s="21">
        <v>3</v>
      </c>
      <c r="L27" s="9">
        <v>300</v>
      </c>
      <c r="M27" s="17">
        <v>44639</v>
      </c>
      <c r="N27" s="9" t="s">
        <v>56</v>
      </c>
      <c r="O27" s="19">
        <v>0.58333333333333337</v>
      </c>
      <c r="P27" s="6">
        <v>1</v>
      </c>
      <c r="Q27" s="9"/>
      <c r="R27" s="9" t="s">
        <v>70</v>
      </c>
    </row>
    <row r="28" spans="1:18" x14ac:dyDescent="0.25">
      <c r="A28" s="6">
        <v>27</v>
      </c>
      <c r="B28" s="27" t="s">
        <v>144</v>
      </c>
      <c r="C28" s="23" t="s">
        <v>145</v>
      </c>
      <c r="D28" s="17">
        <v>44642</v>
      </c>
      <c r="E28" s="18">
        <v>0.58333333333333337</v>
      </c>
      <c r="F28" s="9">
        <v>1</v>
      </c>
      <c r="G28" s="24" t="s">
        <v>146</v>
      </c>
      <c r="H28" s="25" t="s">
        <v>147</v>
      </c>
      <c r="I28" s="6" t="s">
        <v>57</v>
      </c>
      <c r="J28" s="27">
        <v>48</v>
      </c>
      <c r="K28" s="21">
        <v>5</v>
      </c>
      <c r="L28" s="27">
        <v>240</v>
      </c>
      <c r="M28" s="17">
        <v>44639</v>
      </c>
      <c r="N28" s="9" t="s">
        <v>56</v>
      </c>
      <c r="O28" s="19">
        <v>0.58333333333333337</v>
      </c>
      <c r="P28" s="6">
        <v>1</v>
      </c>
      <c r="Q28" s="9" t="s">
        <v>148</v>
      </c>
      <c r="R28" s="9" t="s">
        <v>70</v>
      </c>
    </row>
    <row r="29" spans="1:18" x14ac:dyDescent="0.25">
      <c r="A29" s="6">
        <v>28</v>
      </c>
      <c r="B29" s="27" t="s">
        <v>144</v>
      </c>
      <c r="C29" s="23" t="s">
        <v>145</v>
      </c>
      <c r="D29" s="17">
        <v>44642</v>
      </c>
      <c r="E29" s="18">
        <v>0.58333333333333337</v>
      </c>
      <c r="F29" s="9">
        <v>1</v>
      </c>
      <c r="G29" s="6" t="s">
        <v>149</v>
      </c>
      <c r="H29" s="23" t="s">
        <v>150</v>
      </c>
      <c r="I29" s="6" t="s">
        <v>57</v>
      </c>
      <c r="J29" s="9">
        <v>12</v>
      </c>
      <c r="K29" s="21">
        <v>10</v>
      </c>
      <c r="L29" s="27">
        <v>120</v>
      </c>
      <c r="M29" s="17">
        <v>44639</v>
      </c>
      <c r="N29" s="9" t="s">
        <v>56</v>
      </c>
      <c r="O29" s="19">
        <v>0.58333333333333337</v>
      </c>
      <c r="P29" s="6">
        <v>1</v>
      </c>
      <c r="Q29" s="9"/>
      <c r="R29" s="9" t="s">
        <v>70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sqref="A1:A23"/>
    </sheetView>
  </sheetViews>
  <sheetFormatPr defaultRowHeight="13.8" x14ac:dyDescent="0.25"/>
  <sheetData>
    <row r="1" spans="1:5" x14ac:dyDescent="0.25">
      <c r="A1" t="s">
        <v>11</v>
      </c>
      <c r="B1" t="s">
        <v>12</v>
      </c>
      <c r="C1" t="s">
        <v>13</v>
      </c>
      <c r="E1" t="s">
        <v>14</v>
      </c>
    </row>
    <row r="2" spans="1:5" x14ac:dyDescent="0.25">
      <c r="A2" t="s">
        <v>11</v>
      </c>
      <c r="B2" t="s">
        <v>15</v>
      </c>
      <c r="C2" t="s">
        <v>16</v>
      </c>
      <c r="E2" t="s">
        <v>14</v>
      </c>
    </row>
    <row r="3" spans="1:5" x14ac:dyDescent="0.25">
      <c r="A3" t="s">
        <v>11</v>
      </c>
      <c r="B3" t="s">
        <v>17</v>
      </c>
      <c r="C3" t="s">
        <v>18</v>
      </c>
      <c r="E3" t="s">
        <v>19</v>
      </c>
    </row>
    <row r="4" spans="1:5" x14ac:dyDescent="0.25">
      <c r="A4" t="s">
        <v>11</v>
      </c>
      <c r="B4" t="s">
        <v>12</v>
      </c>
      <c r="C4" t="s">
        <v>20</v>
      </c>
      <c r="E4" t="s">
        <v>14</v>
      </c>
    </row>
    <row r="5" spans="1:5" x14ac:dyDescent="0.25">
      <c r="A5" t="s">
        <v>11</v>
      </c>
      <c r="B5" t="s">
        <v>15</v>
      </c>
      <c r="C5" t="s">
        <v>21</v>
      </c>
      <c r="E5" t="s">
        <v>14</v>
      </c>
    </row>
    <row r="6" spans="1:5" x14ac:dyDescent="0.25">
      <c r="A6" t="s">
        <v>11</v>
      </c>
      <c r="B6" t="s">
        <v>22</v>
      </c>
      <c r="C6" t="s">
        <v>23</v>
      </c>
      <c r="E6" t="s">
        <v>24</v>
      </c>
    </row>
    <row r="7" spans="1:5" x14ac:dyDescent="0.25">
      <c r="A7" t="s">
        <v>11</v>
      </c>
      <c r="B7" t="s">
        <v>12</v>
      </c>
      <c r="C7" t="s">
        <v>25</v>
      </c>
      <c r="E7" t="s">
        <v>14</v>
      </c>
    </row>
    <row r="8" spans="1:5" x14ac:dyDescent="0.25">
      <c r="A8" t="s">
        <v>11</v>
      </c>
      <c r="B8" t="s">
        <v>15</v>
      </c>
      <c r="C8" t="s">
        <v>26</v>
      </c>
      <c r="E8" t="s">
        <v>27</v>
      </c>
    </row>
    <row r="9" spans="1:5" x14ac:dyDescent="0.25">
      <c r="A9" t="s">
        <v>11</v>
      </c>
      <c r="B9" t="s">
        <v>28</v>
      </c>
      <c r="C9" t="s">
        <v>29</v>
      </c>
      <c r="E9">
        <v>0</v>
      </c>
    </row>
    <row r="10" spans="1:5" x14ac:dyDescent="0.25">
      <c r="A10" t="s">
        <v>11</v>
      </c>
      <c r="B10" t="s">
        <v>15</v>
      </c>
      <c r="C10" t="s">
        <v>30</v>
      </c>
      <c r="E10" t="s">
        <v>31</v>
      </c>
    </row>
    <row r="11" spans="1:5" x14ac:dyDescent="0.25">
      <c r="A11" t="s">
        <v>11</v>
      </c>
      <c r="B11" t="s">
        <v>28</v>
      </c>
      <c r="C11" t="s">
        <v>32</v>
      </c>
      <c r="E11">
        <v>0</v>
      </c>
    </row>
    <row r="12" spans="1:5" x14ac:dyDescent="0.25">
      <c r="A12" t="s">
        <v>11</v>
      </c>
      <c r="B12" t="s">
        <v>28</v>
      </c>
      <c r="C12" t="s">
        <v>33</v>
      </c>
      <c r="E12" t="s">
        <v>34</v>
      </c>
    </row>
    <row r="13" spans="1:5" x14ac:dyDescent="0.25">
      <c r="A13" t="s">
        <v>11</v>
      </c>
      <c r="B13" t="s">
        <v>15</v>
      </c>
      <c r="C13" t="s">
        <v>35</v>
      </c>
      <c r="E13" t="s">
        <v>36</v>
      </c>
    </row>
    <row r="14" spans="1:5" x14ac:dyDescent="0.25">
      <c r="A14" t="s">
        <v>11</v>
      </c>
      <c r="B14" t="s">
        <v>28</v>
      </c>
      <c r="C14" t="s">
        <v>37</v>
      </c>
      <c r="E14" t="s">
        <v>38</v>
      </c>
    </row>
    <row r="15" spans="1:5" x14ac:dyDescent="0.25">
      <c r="A15" t="s">
        <v>11</v>
      </c>
      <c r="B15" t="s">
        <v>15</v>
      </c>
      <c r="C15" t="s">
        <v>39</v>
      </c>
      <c r="E15" t="s">
        <v>40</v>
      </c>
    </row>
    <row r="16" spans="1:5" x14ac:dyDescent="0.25">
      <c r="A16" t="s">
        <v>11</v>
      </c>
      <c r="B16" t="s">
        <v>15</v>
      </c>
      <c r="C16" t="s">
        <v>41</v>
      </c>
      <c r="E16" t="s">
        <v>42</v>
      </c>
    </row>
    <row r="17" spans="1:5" x14ac:dyDescent="0.25">
      <c r="A17" t="s">
        <v>11</v>
      </c>
      <c r="B17" t="s">
        <v>15</v>
      </c>
      <c r="C17" t="s">
        <v>43</v>
      </c>
      <c r="E17" t="s">
        <v>44</v>
      </c>
    </row>
    <row r="18" spans="1:5" x14ac:dyDescent="0.25">
      <c r="A18" t="s">
        <v>11</v>
      </c>
      <c r="B18" t="s">
        <v>15</v>
      </c>
      <c r="C18" t="s">
        <v>45</v>
      </c>
      <c r="E18" t="s">
        <v>46</v>
      </c>
    </row>
    <row r="19" spans="1:5" x14ac:dyDescent="0.25">
      <c r="A19" t="s">
        <v>11</v>
      </c>
      <c r="B19" t="s">
        <v>15</v>
      </c>
      <c r="C19" t="s">
        <v>47</v>
      </c>
      <c r="E19" t="s">
        <v>48</v>
      </c>
    </row>
    <row r="20" spans="1:5" x14ac:dyDescent="0.25">
      <c r="A20" t="s">
        <v>11</v>
      </c>
      <c r="B20" t="s">
        <v>15</v>
      </c>
      <c r="C20" t="s">
        <v>49</v>
      </c>
      <c r="E20" t="s">
        <v>42</v>
      </c>
    </row>
    <row r="21" spans="1:5" x14ac:dyDescent="0.25">
      <c r="A21" t="s">
        <v>11</v>
      </c>
      <c r="B21" t="s">
        <v>15</v>
      </c>
      <c r="C21" t="s">
        <v>50</v>
      </c>
      <c r="E21" t="s">
        <v>51</v>
      </c>
    </row>
    <row r="22" spans="1:5" x14ac:dyDescent="0.25">
      <c r="A22" t="s">
        <v>11</v>
      </c>
      <c r="B22" t="s">
        <v>15</v>
      </c>
      <c r="C22" t="s">
        <v>52</v>
      </c>
      <c r="E22" t="s">
        <v>53</v>
      </c>
    </row>
    <row r="23" spans="1:5" x14ac:dyDescent="0.25">
      <c r="A23" t="s">
        <v>11</v>
      </c>
      <c r="B23" t="s">
        <v>15</v>
      </c>
      <c r="C23" t="s">
        <v>54</v>
      </c>
      <c r="E2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ProBook-PC</dc:creator>
  <cp:lastModifiedBy>imam faozi</cp:lastModifiedBy>
  <dcterms:created xsi:type="dcterms:W3CDTF">2019-11-28T23:21:17Z</dcterms:created>
  <dcterms:modified xsi:type="dcterms:W3CDTF">2022-03-19T02:10:38Z</dcterms:modified>
</cp:coreProperties>
</file>